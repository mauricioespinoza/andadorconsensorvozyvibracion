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1588853-9B8B-4498-AE3B-85D7BDA290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rta Gantt" sheetId="1" r:id="rId1"/>
    <sheet name="Costos y presupues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2" l="1"/>
  <c r="F29" i="2"/>
  <c r="F28" i="2"/>
  <c r="F27" i="2"/>
  <c r="F26" i="2"/>
  <c r="F25" i="2"/>
  <c r="F24" i="2"/>
  <c r="F23" i="2"/>
  <c r="F22" i="2"/>
  <c r="F21" i="2"/>
  <c r="F20" i="2"/>
  <c r="F19" i="2"/>
  <c r="F18" i="2"/>
  <c r="F13" i="2"/>
  <c r="F14" i="2"/>
  <c r="F15" i="2"/>
  <c r="F16" i="2"/>
  <c r="F17" i="2"/>
  <c r="F7" i="2"/>
  <c r="F8" i="2"/>
  <c r="F9" i="2"/>
  <c r="F10" i="2"/>
  <c r="F11" i="2"/>
  <c r="F12" i="2"/>
  <c r="F6" i="2"/>
</calcChain>
</file>

<file path=xl/sharedStrings.xml><?xml version="1.0" encoding="utf-8"?>
<sst xmlns="http://schemas.openxmlformats.org/spreadsheetml/2006/main" count="68" uniqueCount="49">
  <si>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</si>
  <si>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</si>
  <si>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</si>
  <si>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</si>
  <si>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</si>
  <si>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</si>
  <si>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</si>
  <si>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</si>
  <si>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Definicion del proyecto</t>
  </si>
  <si>
    <t>Estudio del dispositivo</t>
  </si>
  <si>
    <t>Adquisicion de hardware</t>
  </si>
  <si>
    <t>Programacion</t>
  </si>
  <si>
    <t>Depuracion</t>
  </si>
  <si>
    <t>Puesta en marcha</t>
  </si>
  <si>
    <t>Item</t>
  </si>
  <si>
    <t>Cantidad</t>
  </si>
  <si>
    <t>Precio Unitario</t>
  </si>
  <si>
    <t>Precio Total</t>
  </si>
  <si>
    <t>Proveedor</t>
  </si>
  <si>
    <t>TOTAL</t>
  </si>
  <si>
    <t>Tarjeta de memoria SD 16GB</t>
  </si>
  <si>
    <t>120 Cables dupont medidas variadas</t>
  </si>
  <si>
    <t>AliExpress</t>
  </si>
  <si>
    <t>Protoboard 400 puntos</t>
  </si>
  <si>
    <t xml:space="preserve">Kit 10 placa PCB </t>
  </si>
  <si>
    <t>Condensador Electrolitico 100microF</t>
  </si>
  <si>
    <t>Condensador Electrolitico 10microF</t>
  </si>
  <si>
    <t>Modulo dfPlayer Mini</t>
  </si>
  <si>
    <t>Modulo PAM8403</t>
  </si>
  <si>
    <t>Modulo ESP32 WROOM 32U</t>
  </si>
  <si>
    <t>Resistencias Ceramicas 2Kohm</t>
  </si>
  <si>
    <t>Resistencias Ceramicas 1Kohm</t>
  </si>
  <si>
    <t>Bateria 18650 3500mAh</t>
  </si>
  <si>
    <t>Modulo TP4056</t>
  </si>
  <si>
    <t>Soporte Bateria 18650</t>
  </si>
  <si>
    <t>Mini Interruptor tipo Palanca</t>
  </si>
  <si>
    <t>Pack 2 altavoces 40mm, 4ohm 5W</t>
  </si>
  <si>
    <t>Sensor ultrasonico HC-SR04</t>
  </si>
  <si>
    <t>Modulo MT3608</t>
  </si>
  <si>
    <t>Cajas sobrepuesta 42x28mm</t>
  </si>
  <si>
    <t>Electronica Hobby</t>
  </si>
  <si>
    <t>Condensador ceramico 0,1microFaradios</t>
  </si>
  <si>
    <t>8 Mts cbale 12 mm colores variados</t>
  </si>
  <si>
    <t>Encendido Total</t>
  </si>
  <si>
    <t>Cajas plasticas varias</t>
  </si>
  <si>
    <t>Abrazadera metalica 21mm</t>
  </si>
  <si>
    <t>Feria libre</t>
  </si>
  <si>
    <t>Tarjeta expasión ESP32 38 pines</t>
  </si>
  <si>
    <t>Mercado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</si>
</sst>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AI13"/>
  <sheetViews>
    <sheetView workbookViewId="0">
      <selection activeCell="C12" sqref="C12"/>
    </sheetView>
  </sheetViews>
  <sheetFormatPr defaultColWidth="9.140625" defaultRowHeight="15" x14ac:dyDescent="0.25"/>
  <cols>
    <col min="3" max="3" width="23.28515625" bestFit="1" customWidth="1"/>
    <col min="4" max="35" width="3.7109375" customWidth="1"/>
    <col min="36" max="45" width="5.7109375" customWidth="1"/>
  </cols>
  <sheetData>
    <row r="6" spans="3:35" x14ac:dyDescent="0.25">
      <c r="D6" s="7" t="s">
        <v>0</v>
      </c>
      <c r="E6" s="7"/>
      <c r="F6" s="7"/>
      <c r="G6" s="7"/>
      <c r="H6" s="7" t="s">
        <v>1</v>
      </c>
      <c r="I6" s="7"/>
      <c r="J6" s="7"/>
      <c r="K6" s="7"/>
      <c r="L6" s="7" t="s">
        <v>2</v>
      </c>
      <c r="M6" s="7"/>
      <c r="N6" s="7"/>
      <c r="O6" s="7"/>
      <c r="P6" s="7" t="s">
        <v>3</v>
      </c>
      <c r="Q6" s="7"/>
      <c r="R6" s="7"/>
      <c r="S6" s="7"/>
      <c r="T6" s="7" t="s">
        <v>4</v>
      </c>
      <c r="U6" s="7"/>
      <c r="V6" s="7"/>
      <c r="W6" s="7"/>
      <c r="X6" s="7" t="s">
        <v>5</v>
      </c>
      <c r="Y6" s="7"/>
      <c r="Z6" s="7"/>
      <c r="AA6" s="7"/>
      <c r="AB6" s="7" t="s">
        <v>6</v>
      </c>
      <c r="AC6" s="7"/>
      <c r="AD6" s="7"/>
      <c r="AE6" s="7"/>
      <c r="AF6" s="7" t="s">
        <v>7</v>
      </c>
      <c r="AG6" s="7"/>
      <c r="AH6" s="7"/>
      <c r="AI6" s="7"/>
    </row>
    <row r="7" spans="3:35" x14ac:dyDescent="0.25">
      <c r="D7" s="2">
        <v>1</v>
      </c>
      <c r="E7" s="2">
        <v>2</v>
      </c>
      <c r="F7" s="2">
        <v>3</v>
      </c>
      <c r="G7" s="2">
        <v>4</v>
      </c>
      <c r="H7" s="2">
        <v>1</v>
      </c>
      <c r="I7" s="2">
        <v>2</v>
      </c>
      <c r="J7" s="2">
        <v>3</v>
      </c>
      <c r="K7" s="2">
        <v>4</v>
      </c>
      <c r="L7" s="2">
        <v>1</v>
      </c>
      <c r="M7" s="2">
        <v>2</v>
      </c>
      <c r="N7" s="2">
        <v>3</v>
      </c>
      <c r="O7" s="2">
        <v>4</v>
      </c>
      <c r="P7" s="2">
        <v>1</v>
      </c>
      <c r="Q7" s="2">
        <v>2</v>
      </c>
      <c r="R7" s="2">
        <v>3</v>
      </c>
      <c r="S7" s="2">
        <v>4</v>
      </c>
      <c r="T7" s="2">
        <v>1</v>
      </c>
      <c r="U7" s="2">
        <v>2</v>
      </c>
      <c r="V7" s="2">
        <v>3</v>
      </c>
      <c r="W7" s="2">
        <v>4</v>
      </c>
      <c r="X7" s="2">
        <v>1</v>
      </c>
      <c r="Y7" s="2">
        <v>2</v>
      </c>
      <c r="Z7" s="2">
        <v>3</v>
      </c>
      <c r="AA7" s="2">
        <v>4</v>
      </c>
      <c r="AB7" s="2">
        <v>1</v>
      </c>
      <c r="AC7" s="2">
        <v>2</v>
      </c>
      <c r="AD7" s="2">
        <v>3</v>
      </c>
      <c r="AE7" s="2">
        <v>4</v>
      </c>
      <c r="AF7" s="2">
        <v>1</v>
      </c>
      <c r="AG7" s="2">
        <v>2</v>
      </c>
      <c r="AH7" s="2">
        <v>3</v>
      </c>
      <c r="AI7" s="2">
        <v>4</v>
      </c>
    </row>
    <row r="8" spans="3:35" x14ac:dyDescent="0.25">
      <c r="C8" s="3" t="s">
        <v>8</v>
      </c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3:35" x14ac:dyDescent="0.25">
      <c r="C9" s="3" t="s">
        <v>9</v>
      </c>
      <c r="D9" s="1"/>
      <c r="E9" s="1"/>
      <c r="F9" s="4"/>
      <c r="G9" s="4"/>
      <c r="H9" s="4"/>
      <c r="I9" s="4"/>
      <c r="J9" s="4"/>
      <c r="K9" s="4"/>
      <c r="L9" s="4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3:35" x14ac:dyDescent="0.25">
      <c r="C10" s="3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3:35" x14ac:dyDescent="0.25">
      <c r="C11" s="3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"/>
      <c r="AC11" s="1"/>
      <c r="AD11" s="1"/>
      <c r="AE11" s="1"/>
      <c r="AF11" s="1"/>
      <c r="AG11" s="1"/>
      <c r="AH11" s="1"/>
      <c r="AI11" s="1"/>
    </row>
    <row r="12" spans="3:35" x14ac:dyDescent="0.25">
      <c r="C12" s="3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4"/>
      <c r="Y12" s="4"/>
      <c r="Z12" s="4"/>
      <c r="AA12" s="4"/>
      <c r="AB12" s="4"/>
      <c r="AC12" s="4"/>
      <c r="AD12" s="4"/>
      <c r="AE12" s="4"/>
      <c r="AF12" s="4"/>
      <c r="AG12" s="1"/>
      <c r="AH12" s="1"/>
      <c r="AI12" s="1"/>
    </row>
    <row r="13" spans="3:35" x14ac:dyDescent="0.25">
      <c r="C13" s="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4"/>
      <c r="AF13" s="4"/>
      <c r="AG13" s="4"/>
      <c r="AH13" s="4"/>
      <c r="AI13" s="4"/>
    </row>
  </sheetData>
  <mergeCells count="8">
    <mergeCell ref="AB6:AE6"/>
    <mergeCell ref="AF6:AI6"/>
    <mergeCell ref="D6:G6"/>
    <mergeCell ref="H6:K6"/>
    <mergeCell ref="L6:O6"/>
    <mergeCell ref="P6:S6"/>
    <mergeCell ref="T6:W6"/>
    <mergeCell ref="X6:A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G31"/>
  <sheetViews>
    <sheetView tabSelected="1" topLeftCell="A9" workbookViewId="0">
      <selection activeCell="C5" sqref="C5:G31"/>
    </sheetView>
  </sheetViews>
  <sheetFormatPr defaultColWidth="11.42578125" defaultRowHeight="15" x14ac:dyDescent="0.25"/>
  <cols>
    <col min="3" max="3" width="22.140625" customWidth="1"/>
    <col min="5" max="5" width="15.28515625" customWidth="1"/>
    <col min="6" max="6" width="13.140625" customWidth="1"/>
    <col min="7" max="7" width="13.85546875" customWidth="1"/>
  </cols>
  <sheetData>
    <row r="5" spans="3:7" x14ac:dyDescent="0.25"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</row>
    <row r="6" spans="3:7" ht="30" x14ac:dyDescent="0.25">
      <c r="C6" s="10" t="s">
        <v>20</v>
      </c>
      <c r="D6" s="1">
        <v>1</v>
      </c>
      <c r="E6" s="8">
        <v>3149</v>
      </c>
      <c r="F6" s="1">
        <f>E6*D6</f>
        <v>3149</v>
      </c>
      <c r="G6" s="1" t="s">
        <v>22</v>
      </c>
    </row>
    <row r="7" spans="3:7" ht="30" x14ac:dyDescent="0.25">
      <c r="C7" s="10" t="s">
        <v>21</v>
      </c>
      <c r="D7" s="1">
        <v>1</v>
      </c>
      <c r="E7" s="1">
        <v>4736</v>
      </c>
      <c r="F7" s="1">
        <f t="shared" ref="F7:F29" si="0">E7*D7</f>
        <v>4736</v>
      </c>
      <c r="G7" s="1" t="s">
        <v>22</v>
      </c>
    </row>
    <row r="8" spans="3:7" x14ac:dyDescent="0.25">
      <c r="C8" s="10" t="s">
        <v>28</v>
      </c>
      <c r="D8" s="1">
        <v>1</v>
      </c>
      <c r="E8" s="1">
        <v>887</v>
      </c>
      <c r="F8" s="1">
        <f t="shared" si="0"/>
        <v>887</v>
      </c>
      <c r="G8" s="1" t="s">
        <v>22</v>
      </c>
    </row>
    <row r="9" spans="3:7" x14ac:dyDescent="0.25">
      <c r="C9" s="10" t="s">
        <v>23</v>
      </c>
      <c r="D9" s="1">
        <v>1</v>
      </c>
      <c r="E9" s="1">
        <v>2990</v>
      </c>
      <c r="F9" s="1">
        <f t="shared" si="0"/>
        <v>2990</v>
      </c>
      <c r="G9" s="1" t="s">
        <v>22</v>
      </c>
    </row>
    <row r="10" spans="3:7" x14ac:dyDescent="0.25">
      <c r="C10" s="10" t="s">
        <v>24</v>
      </c>
      <c r="D10" s="1">
        <v>1</v>
      </c>
      <c r="E10" s="1">
        <v>2190</v>
      </c>
      <c r="F10" s="1">
        <f t="shared" si="0"/>
        <v>2190</v>
      </c>
      <c r="G10" s="1" t="s">
        <v>22</v>
      </c>
    </row>
    <row r="11" spans="3:7" ht="30" x14ac:dyDescent="0.25">
      <c r="C11" s="10" t="s">
        <v>29</v>
      </c>
      <c r="D11" s="1">
        <v>1</v>
      </c>
      <c r="E11" s="1">
        <v>4290</v>
      </c>
      <c r="F11" s="1">
        <f t="shared" si="0"/>
        <v>4290</v>
      </c>
      <c r="G11" s="1" t="s">
        <v>22</v>
      </c>
    </row>
    <row r="12" spans="3:7" ht="30" x14ac:dyDescent="0.25">
      <c r="C12" s="10" t="s">
        <v>25</v>
      </c>
      <c r="D12" s="1">
        <v>2</v>
      </c>
      <c r="E12" s="1">
        <v>150</v>
      </c>
      <c r="F12" s="1">
        <f t="shared" si="0"/>
        <v>300</v>
      </c>
      <c r="G12" s="1" t="s">
        <v>22</v>
      </c>
    </row>
    <row r="13" spans="3:7" ht="30" x14ac:dyDescent="0.25">
      <c r="C13" s="10" t="s">
        <v>26</v>
      </c>
      <c r="D13" s="1">
        <v>2</v>
      </c>
      <c r="E13" s="1">
        <v>150</v>
      </c>
      <c r="F13" s="1">
        <f t="shared" si="0"/>
        <v>300</v>
      </c>
      <c r="G13" s="1" t="s">
        <v>22</v>
      </c>
    </row>
    <row r="14" spans="3:7" x14ac:dyDescent="0.25">
      <c r="C14" s="10" t="s">
        <v>27</v>
      </c>
      <c r="D14" s="1">
        <v>1</v>
      </c>
      <c r="E14" s="1">
        <v>1911</v>
      </c>
      <c r="F14" s="1">
        <f t="shared" si="0"/>
        <v>1911</v>
      </c>
      <c r="G14" s="1" t="s">
        <v>22</v>
      </c>
    </row>
    <row r="15" spans="3:7" ht="30" x14ac:dyDescent="0.25">
      <c r="C15" s="10" t="s">
        <v>30</v>
      </c>
      <c r="D15" s="1">
        <v>3</v>
      </c>
      <c r="E15" s="1">
        <v>27</v>
      </c>
      <c r="F15" s="1">
        <f t="shared" si="0"/>
        <v>81</v>
      </c>
      <c r="G15" s="1" t="s">
        <v>22</v>
      </c>
    </row>
    <row r="16" spans="3:7" ht="30" x14ac:dyDescent="0.25">
      <c r="C16" s="10" t="s">
        <v>31</v>
      </c>
      <c r="D16" s="1">
        <v>7</v>
      </c>
      <c r="E16" s="1">
        <v>27</v>
      </c>
      <c r="F16" s="1">
        <f t="shared" si="0"/>
        <v>189</v>
      </c>
      <c r="G16" s="1" t="s">
        <v>22</v>
      </c>
    </row>
    <row r="17" spans="3:7" x14ac:dyDescent="0.25">
      <c r="C17" s="10" t="s">
        <v>32</v>
      </c>
      <c r="D17" s="1">
        <v>1</v>
      </c>
      <c r="E17" s="1">
        <v>6500</v>
      </c>
      <c r="F17" s="1">
        <f t="shared" si="0"/>
        <v>6500</v>
      </c>
      <c r="G17" s="1" t="s">
        <v>22</v>
      </c>
    </row>
    <row r="18" spans="3:7" x14ac:dyDescent="0.25">
      <c r="C18" s="10" t="s">
        <v>33</v>
      </c>
      <c r="D18" s="1">
        <v>1</v>
      </c>
      <c r="E18" s="1">
        <v>1542</v>
      </c>
      <c r="F18" s="1">
        <f t="shared" si="0"/>
        <v>1542</v>
      </c>
      <c r="G18" s="1" t="s">
        <v>22</v>
      </c>
    </row>
    <row r="19" spans="3:7" x14ac:dyDescent="0.25">
      <c r="C19" s="10" t="s">
        <v>34</v>
      </c>
      <c r="D19" s="1">
        <v>1</v>
      </c>
      <c r="E19" s="1">
        <v>1279</v>
      </c>
      <c r="F19" s="1">
        <f t="shared" si="0"/>
        <v>1279</v>
      </c>
      <c r="G19" s="1" t="s">
        <v>22</v>
      </c>
    </row>
    <row r="20" spans="3:7" ht="30" x14ac:dyDescent="0.25">
      <c r="C20" s="10" t="s">
        <v>35</v>
      </c>
      <c r="D20" s="1">
        <v>1</v>
      </c>
      <c r="E20" s="1">
        <v>271</v>
      </c>
      <c r="F20" s="1">
        <f t="shared" si="0"/>
        <v>271</v>
      </c>
      <c r="G20" s="1" t="s">
        <v>22</v>
      </c>
    </row>
    <row r="21" spans="3:7" ht="30" x14ac:dyDescent="0.25">
      <c r="C21" s="10" t="s">
        <v>36</v>
      </c>
      <c r="D21" s="1">
        <v>1</v>
      </c>
      <c r="E21" s="1">
        <v>10352</v>
      </c>
      <c r="F21" s="1">
        <f t="shared" si="0"/>
        <v>10352</v>
      </c>
      <c r="G21" s="1" t="s">
        <v>22</v>
      </c>
    </row>
    <row r="22" spans="3:7" ht="30" x14ac:dyDescent="0.25">
      <c r="C22" s="10" t="s">
        <v>37</v>
      </c>
      <c r="D22" s="1">
        <v>3</v>
      </c>
      <c r="E22" s="1">
        <v>896</v>
      </c>
      <c r="F22" s="1">
        <f t="shared" si="0"/>
        <v>2688</v>
      </c>
      <c r="G22" s="1" t="s">
        <v>22</v>
      </c>
    </row>
    <row r="23" spans="3:7" x14ac:dyDescent="0.25">
      <c r="C23" s="10" t="s">
        <v>38</v>
      </c>
      <c r="D23" s="1">
        <v>1</v>
      </c>
      <c r="E23" s="1">
        <v>489</v>
      </c>
      <c r="F23" s="1">
        <f t="shared" si="0"/>
        <v>489</v>
      </c>
      <c r="G23" s="1" t="s">
        <v>22</v>
      </c>
    </row>
    <row r="24" spans="3:7" ht="30" x14ac:dyDescent="0.25">
      <c r="C24" s="10" t="s">
        <v>39</v>
      </c>
      <c r="D24" s="1">
        <v>2</v>
      </c>
      <c r="E24" s="1">
        <v>1251</v>
      </c>
      <c r="F24" s="1">
        <f t="shared" si="0"/>
        <v>2502</v>
      </c>
      <c r="G24" s="10" t="s">
        <v>40</v>
      </c>
    </row>
    <row r="25" spans="3:7" ht="30" x14ac:dyDescent="0.25">
      <c r="C25" s="10" t="s">
        <v>41</v>
      </c>
      <c r="D25" s="1">
        <v>3</v>
      </c>
      <c r="E25" s="1">
        <v>180</v>
      </c>
      <c r="F25" s="1">
        <f t="shared" si="0"/>
        <v>540</v>
      </c>
      <c r="G25" s="10" t="s">
        <v>43</v>
      </c>
    </row>
    <row r="26" spans="3:7" ht="30" x14ac:dyDescent="0.25">
      <c r="C26" s="10" t="s">
        <v>42</v>
      </c>
      <c r="D26" s="1">
        <v>1</v>
      </c>
      <c r="E26" s="1">
        <v>8000</v>
      </c>
      <c r="F26" s="1">
        <f t="shared" si="0"/>
        <v>8000</v>
      </c>
      <c r="G26" s="10" t="s">
        <v>43</v>
      </c>
    </row>
    <row r="27" spans="3:7" x14ac:dyDescent="0.25">
      <c r="C27" s="10" t="s">
        <v>44</v>
      </c>
      <c r="D27" s="1">
        <v>4</v>
      </c>
      <c r="E27" s="1">
        <v>500</v>
      </c>
      <c r="F27" s="1">
        <f t="shared" si="0"/>
        <v>2000</v>
      </c>
      <c r="G27" s="1" t="s">
        <v>46</v>
      </c>
    </row>
    <row r="28" spans="3:7" ht="30" x14ac:dyDescent="0.25">
      <c r="C28" s="10" t="s">
        <v>45</v>
      </c>
      <c r="D28" s="1">
        <v>10</v>
      </c>
      <c r="E28" s="1">
        <v>210</v>
      </c>
      <c r="F28" s="1">
        <f t="shared" si="0"/>
        <v>2100</v>
      </c>
      <c r="G28" s="1" t="s">
        <v>46</v>
      </c>
    </row>
    <row r="29" spans="3:7" ht="30" x14ac:dyDescent="0.25">
      <c r="C29" s="10" t="s">
        <v>47</v>
      </c>
      <c r="D29" s="1">
        <v>1</v>
      </c>
      <c r="E29" s="1">
        <v>5990</v>
      </c>
      <c r="F29" s="1">
        <f t="shared" si="0"/>
        <v>5990</v>
      </c>
      <c r="G29" s="1" t="s">
        <v>48</v>
      </c>
    </row>
    <row r="30" spans="3:7" x14ac:dyDescent="0.25">
      <c r="C30" s="11"/>
      <c r="D30" s="9"/>
      <c r="E30" s="9"/>
      <c r="F30" s="1"/>
      <c r="G30" s="1"/>
    </row>
    <row r="31" spans="3:7" x14ac:dyDescent="0.25">
      <c r="F31" s="6" t="s">
        <v>19</v>
      </c>
      <c r="G31" s="1">
        <f>SUM(F6:F29)</f>
        <v>65276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Carta Gantt</vt:lpstr>
      <vt:lpstr>Costos y presupuestos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2026-05-21T16:27:14Z</dcterms:modified>
</cp:coreProperties>
</file>